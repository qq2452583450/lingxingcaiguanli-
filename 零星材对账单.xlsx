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结算汇总" sheetId="1" r:id="rId1"/>
    <sheet name="2026.1.1~2026.1.15" sheetId="11" r:id="rId2"/>
  </sheets>
  <definedNames>
    <definedName name="_xlnm.Print_Area" localSheetId="0">结算汇总!$A$1:$G$30</definedName>
    <definedName name="_xlnm.Print_Titles" localSheetId="0">结算汇总!$1:$5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<sst xmlns="http://schemas.openxmlformats.org/spreadsheetml/2006/main" count="93" uniqueCount="75">
  <si>
    <t>零星材料费用结算单</t>
  </si>
  <si>
    <t>供货单位名称：</t>
  </si>
  <si>
    <t>昆明市官渡区佩文筛网经营部</t>
  </si>
  <si>
    <t>结算单编号：</t>
  </si>
  <si>
    <t>购货单位名称：</t>
  </si>
  <si>
    <t>中天建设集团有限公司</t>
  </si>
  <si>
    <t>合同编号：</t>
  </si>
  <si>
    <r>
      <rPr>
        <b/>
        <sz val="11"/>
        <rFont val="Arial"/>
        <charset val="0"/>
      </rPr>
      <t>ZTBJ-YN-</t>
    </r>
    <r>
      <rPr>
        <b/>
        <sz val="11"/>
        <rFont val="宋体"/>
        <charset val="0"/>
      </rPr>
      <t>采</t>
    </r>
    <r>
      <rPr>
        <b/>
        <sz val="11"/>
        <rFont val="Arial"/>
        <charset val="0"/>
      </rPr>
      <t>-012</t>
    </r>
  </si>
  <si>
    <t>项目名称：</t>
  </si>
  <si>
    <t>昆明锦官府项目一期总承包工程</t>
  </si>
  <si>
    <t>结算时间：</t>
  </si>
  <si>
    <t>序号</t>
  </si>
  <si>
    <t>期间</t>
  </si>
  <si>
    <t>本期结算数量()</t>
  </si>
  <si>
    <t>本期结算金额（元）</t>
  </si>
  <si>
    <t>累计已付款</t>
  </si>
  <si>
    <t>累计已开票</t>
  </si>
  <si>
    <t>备注</t>
  </si>
  <si>
    <t>合    计</t>
  </si>
  <si>
    <t>结算金额</t>
  </si>
  <si>
    <t>截止本次结算尚欠</t>
  </si>
  <si>
    <t>部门</t>
  </si>
  <si>
    <t>审批人员</t>
  </si>
  <si>
    <t>审批签字确认</t>
  </si>
  <si>
    <t>日期</t>
  </si>
  <si>
    <t>项目部</t>
  </si>
  <si>
    <t>收料员</t>
  </si>
  <si>
    <t>仓管员</t>
  </si>
  <si>
    <t>材料员</t>
  </si>
  <si>
    <t>项目预算</t>
  </si>
  <si>
    <t>项目经理</t>
  </si>
  <si>
    <t>公司项目管理中心</t>
  </si>
  <si>
    <t>物资核算专员</t>
  </si>
  <si>
    <t>材料主管/材料员</t>
  </si>
  <si>
    <t>成本/预算</t>
  </si>
  <si>
    <t>部门负责人</t>
  </si>
  <si>
    <t>直营分管领导</t>
  </si>
  <si>
    <t>备注：1、表单适用于所有材料最终结算，合同履行完毕或供货需求结束即完成本结算单，该结算单仅作为内部资料存档。</t>
  </si>
  <si>
    <t>零星材料对账单</t>
  </si>
  <si>
    <t>对账编号：</t>
  </si>
  <si>
    <t>对账周期：</t>
  </si>
  <si>
    <t>单位：元</t>
  </si>
  <si>
    <t>原始单号</t>
  </si>
  <si>
    <t>材料名称</t>
  </si>
  <si>
    <t>规格型号</t>
  </si>
  <si>
    <t>单位</t>
  </si>
  <si>
    <t>数量</t>
  </si>
  <si>
    <t>单价</t>
  </si>
  <si>
    <t>金额</t>
  </si>
  <si>
    <r>
      <rPr>
        <b/>
        <sz val="12"/>
        <color indexed="10"/>
        <rFont val="宋体"/>
        <charset val="134"/>
      </rPr>
      <t>（添加送货明细在此行前面插入）</t>
    </r>
    <r>
      <rPr>
        <b/>
        <sz val="12"/>
        <rFont val="宋体"/>
        <charset val="134"/>
      </rPr>
      <t>合计（小计）</t>
    </r>
  </si>
  <si>
    <t>本期对账金额（A)</t>
  </si>
  <si>
    <t>（小写）：</t>
  </si>
  <si>
    <t>（大写）：</t>
  </si>
  <si>
    <t>增值税专用发票税率</t>
  </si>
  <si>
    <t>本期对账不含税金额</t>
  </si>
  <si>
    <t>截止上期末累计对账金额(B)</t>
  </si>
  <si>
    <t>截止本期末累计对账金额(C=A+B)</t>
  </si>
  <si>
    <t>本期结算说明</t>
  </si>
  <si>
    <t>供货单位确认</t>
  </si>
  <si>
    <t>本供方承诺：到对账期间截止日，即 2026 年 1 月 15 日之前所送物资均已按本对账单进行确认，我方无异议，日后出现本对账单对账截止日期之前的其他送货清单均为无效。
供方单位（签章）：                                  经办人：                         日期：</t>
  </si>
  <si>
    <t>审核内容</t>
  </si>
  <si>
    <t>项目部各相关部门意见</t>
  </si>
  <si>
    <t>项目物资</t>
  </si>
  <si>
    <t>材料进场数量、单价与订货数量、单价差异审查</t>
  </si>
  <si>
    <t>单价、实际量与预算量差异审查</t>
  </si>
  <si>
    <t>生产经理/执行经理</t>
  </si>
  <si>
    <t>核对材料质量、供应及时性</t>
  </si>
  <si>
    <t>项目财务</t>
  </si>
  <si>
    <t>核对原始单据是否符合“四流一致”原则</t>
  </si>
  <si>
    <t>复核相应审核内容</t>
  </si>
  <si>
    <t>材料型号与合同单价、数量清单符合性审查</t>
  </si>
  <si>
    <t>审单价</t>
  </si>
  <si>
    <t>项管财务</t>
  </si>
  <si>
    <t>原始单据齐全、合法、合规</t>
  </si>
  <si>
    <t>备注：
     1、每月20号-25号为本月所供物资的对账日期，相关时间内未来对账的，将顺延到下个月再对账，供应商需提供经需方签收的送货清单及统一格式按时间次序排布的对账单，在对账日期到项目部核对；
     2、表单作为资金申请的附件； 
     3、对账单及相关送货单、入库单、出库单、发票等原始单据要求至月底26日前提交至项目管理处；
     4、对账单一式2份，双面打印，不要私自改动模板公式。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</si>
</sst>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yyyy/m/d;@"/>
    <numFmt numFmtId="178" formatCode="#,##0.00_ "/>
    <numFmt numFmtId="179" formatCode="0.00_ "/>
    <numFmt numFmtId="180" formatCode="[DBNum2][$RMB]General;[Red][DBNum2][$RMB]General"/>
    <numFmt numFmtId="181" formatCode="_ \¥* #,##0.00_ ;_ \¥* \-#,##0.00_ ;_ \¥* &quot;-&quot;??_ ;_ @_ "/>
  </numFmts>
  <fonts count="54">
    <font>
      <sz val="12"/>
      <name val="宋体"/>
      <charset val="134"/>
    </font>
    <font>
      <sz val="11"/>
      <name val="Arial"/>
      <charset val="0"/>
    </font>
    <font>
      <sz val="11"/>
      <name val="宋体"/>
      <charset val="134"/>
    </font>
    <font>
      <sz val="9"/>
      <color theme="1"/>
      <name val="Times New Roman"/>
      <charset val="134"/>
    </font>
    <font>
      <sz val="10"/>
      <name val="Arial"/>
      <charset val="0"/>
    </font>
    <font>
      <b/>
      <u/>
      <sz val="20"/>
      <name val="宋体"/>
      <charset val="134"/>
    </font>
    <font>
      <b/>
      <u/>
      <sz val="14"/>
      <name val="黑体"/>
      <charset val="134"/>
    </font>
    <font>
      <b/>
      <sz val="10"/>
      <name val="宋体"/>
      <charset val="134"/>
    </font>
    <font>
      <b/>
      <u/>
      <sz val="10"/>
      <name val="黑体"/>
      <charset val="134"/>
    </font>
    <font>
      <b/>
      <sz val="10"/>
      <color indexed="8"/>
      <name val="宋体"/>
      <charset val="134"/>
    </font>
    <font>
      <b/>
      <sz val="11"/>
      <name val="Arial"/>
      <charset val="0"/>
    </font>
    <font>
      <b/>
      <sz val="9"/>
      <color rgb="FF000000"/>
      <name val="宋体"/>
      <charset val="134"/>
    </font>
    <font>
      <b/>
      <sz val="12"/>
      <name val="宋体"/>
      <charset val="134"/>
    </font>
    <font>
      <sz val="12"/>
      <color indexed="8"/>
      <name val="宋体"/>
      <charset val="1"/>
    </font>
    <font>
      <b/>
      <sz val="12"/>
      <color indexed="10"/>
      <name val="宋体"/>
      <charset val="134"/>
    </font>
    <font>
      <sz val="10"/>
      <color indexed="8"/>
      <name val="宋体"/>
      <charset val="134"/>
    </font>
    <font>
      <sz val="10"/>
      <color indexed="8"/>
      <name val="Times New Roman"/>
      <charset val="134"/>
    </font>
    <font>
      <sz val="10"/>
      <color rgb="FF000000"/>
      <name val="宋体"/>
      <charset val="134"/>
    </font>
    <font>
      <sz val="10"/>
      <name val="宋体"/>
      <charset val="134"/>
    </font>
    <font>
      <sz val="10"/>
      <name val="宋体"/>
      <charset val="0"/>
    </font>
    <font>
      <b/>
      <sz val="10"/>
      <name val="Arial"/>
      <charset val="0"/>
    </font>
    <font>
      <b/>
      <sz val="10"/>
      <name val="宋体"/>
      <charset val="0"/>
    </font>
    <font>
      <b/>
      <sz val="10"/>
      <color rgb="FFFF0000"/>
      <name val="宋体"/>
      <charset val="134"/>
    </font>
    <font>
      <sz val="12"/>
      <name val="Arial"/>
      <charset val="0"/>
    </font>
    <font>
      <sz val="11"/>
      <name val="宋体"/>
      <charset val="0"/>
    </font>
    <font>
      <sz val="14"/>
      <name val="Arial"/>
      <charset val="0"/>
    </font>
    <font>
      <sz val="11"/>
      <color rgb="FFFF0000"/>
      <name val="宋体"/>
      <charset val="134"/>
      <scheme val="minor"/>
    </font>
    <font>
      <sz val="11"/>
      <name val="宋体"/>
      <charset val="134"/>
      <scheme val="minor"/>
    </font>
    <font>
      <sz val="11"/>
      <name val="Arial"/>
      <charset val="134"/>
    </font>
    <font>
      <u/>
      <sz val="20"/>
      <name val="黑体"/>
      <charset val="134"/>
    </font>
    <font>
      <b/>
      <sz val="11"/>
      <name val="宋体"/>
      <charset val="134"/>
    </font>
    <font>
      <b/>
      <sz val="11"/>
      <name val="宋体"/>
      <charset val="0"/>
    </font>
    <font>
      <b/>
      <sz val="11"/>
      <name val="Arial"/>
      <charset val="134"/>
    </font>
    <font>
      <sz val="10"/>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8"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4" borderId="15"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6" applyNumberFormat="0" applyFill="0" applyAlignment="0" applyProtection="0">
      <alignment vertical="center"/>
    </xf>
    <xf numFmtId="0" fontId="41" fillId="0" borderId="16" applyNumberFormat="0" applyFill="0" applyAlignment="0" applyProtection="0">
      <alignment vertical="center"/>
    </xf>
    <xf numFmtId="0" fontId="42" fillId="0" borderId="17" applyNumberFormat="0" applyFill="0" applyAlignment="0" applyProtection="0">
      <alignment vertical="center"/>
    </xf>
    <xf numFmtId="0" fontId="42" fillId="0" borderId="0" applyNumberFormat="0" applyFill="0" applyBorder="0" applyAlignment="0" applyProtection="0">
      <alignment vertical="center"/>
    </xf>
    <xf numFmtId="0" fontId="43" fillId="5" borderId="18" applyNumberFormat="0" applyAlignment="0" applyProtection="0">
      <alignment vertical="center"/>
    </xf>
    <xf numFmtId="0" fontId="44" fillId="6" borderId="19" applyNumberFormat="0" applyAlignment="0" applyProtection="0">
      <alignment vertical="center"/>
    </xf>
    <xf numFmtId="0" fontId="45" fillId="6" borderId="18" applyNumberFormat="0" applyAlignment="0" applyProtection="0">
      <alignment vertical="center"/>
    </xf>
    <xf numFmtId="0" fontId="46" fillId="7" borderId="20" applyNumberFormat="0" applyAlignment="0" applyProtection="0">
      <alignment vertical="center"/>
    </xf>
    <xf numFmtId="0" fontId="47" fillId="0" borderId="21" applyNumberFormat="0" applyFill="0" applyAlignment="0" applyProtection="0">
      <alignment vertical="center"/>
    </xf>
    <xf numFmtId="0" fontId="48" fillId="0" borderId="22" applyNumberFormat="0" applyFill="0" applyAlignment="0" applyProtection="0">
      <alignment vertical="center"/>
    </xf>
    <xf numFmtId="0" fontId="49" fillId="8" borderId="0" applyNumberFormat="0" applyBorder="0" applyAlignment="0" applyProtection="0">
      <alignment vertical="center"/>
    </xf>
    <xf numFmtId="0" fontId="50" fillId="9" borderId="0" applyNumberFormat="0" applyBorder="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3" borderId="0" applyNumberFormat="0" applyBorder="0" applyAlignment="0" applyProtection="0">
      <alignment vertical="center"/>
    </xf>
    <xf numFmtId="0" fontId="52" fillId="26" borderId="0" applyNumberFormat="0" applyBorder="0" applyAlignment="0" applyProtection="0">
      <alignment vertical="center"/>
    </xf>
    <xf numFmtId="0" fontId="53" fillId="2" borderId="0" applyNumberFormat="0" applyBorder="0" applyAlignment="0" applyProtection="0">
      <alignment vertical="center"/>
    </xf>
    <xf numFmtId="0" fontId="53"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2" fillId="32" borderId="0" applyNumberFormat="0" applyBorder="0" applyAlignment="0" applyProtection="0">
      <alignment vertical="center"/>
    </xf>
    <xf numFmtId="0" fontId="0" fillId="0" borderId="0">
      <alignment vertical="center"/>
    </xf>
  </cellStyleXfs>
  <cellXfs count="138">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Fill="1" applyAlignment="1">
      <alignment vertical="center"/>
    </xf>
    <xf numFmtId="0" fontId="4" fillId="0" borderId="0" xfId="0" applyFont="1">
      <alignment vertical="center"/>
    </xf>
    <xf numFmtId="43" fontId="1" fillId="0" borderId="0" xfId="0" applyNumberFormat="1" applyFont="1">
      <alignment vertical="center"/>
    </xf>
    <xf numFmtId="0" fontId="5" fillId="0" borderId="0" xfId="0" applyFont="1" applyFill="1" applyAlignment="1">
      <alignment horizontal="center" vertical="center"/>
    </xf>
    <xf numFmtId="0" fontId="6" fillId="0" borderId="0" xfId="0" applyFont="1" applyFill="1" applyAlignment="1">
      <alignment horizontal="center" vertical="top"/>
    </xf>
    <xf numFmtId="0" fontId="7" fillId="0" borderId="0" xfId="0" applyFont="1" applyFill="1" applyAlignment="1">
      <alignment horizontal="right" vertical="center"/>
    </xf>
    <xf numFmtId="0" fontId="7" fillId="0" borderId="0" xfId="0" applyFont="1" applyFill="1" applyAlignment="1">
      <alignment horizontal="left" vertical="center"/>
    </xf>
    <xf numFmtId="0" fontId="8" fillId="0" borderId="0" xfId="0" applyFont="1" applyFill="1" applyAlignment="1">
      <alignment horizontal="center" vertical="top"/>
    </xf>
    <xf numFmtId="0" fontId="9" fillId="0" borderId="0" xfId="0" applyNumberFormat="1" applyFont="1" applyFill="1" applyAlignment="1">
      <alignment horizontal="right" vertical="center"/>
    </xf>
    <xf numFmtId="0" fontId="10" fillId="0" borderId="0" xfId="0" applyFont="1">
      <alignment vertical="center"/>
    </xf>
    <xf numFmtId="0" fontId="7" fillId="0" borderId="0" xfId="0" applyFont="1" applyAlignment="1">
      <alignment horizontal="right" vertical="center"/>
    </xf>
    <xf numFmtId="0" fontId="7" fillId="0" borderId="0" xfId="0" applyFont="1" applyAlignment="1">
      <alignment vertical="center"/>
    </xf>
    <xf numFmtId="176" fontId="11" fillId="0" borderId="1" xfId="0" applyNumberFormat="1" applyFont="1" applyFill="1" applyBorder="1" applyAlignment="1">
      <alignment horizontal="left" vertical="center" wrapText="1"/>
    </xf>
    <xf numFmtId="0" fontId="12" fillId="0" borderId="2" xfId="0" applyFont="1" applyBorder="1" applyAlignment="1">
      <alignment horizontal="center" vertical="center"/>
    </xf>
    <xf numFmtId="0" fontId="12" fillId="0" borderId="2" xfId="0" applyFont="1" applyFill="1" applyBorder="1" applyAlignment="1">
      <alignment horizontal="center" vertical="center"/>
    </xf>
    <xf numFmtId="43" fontId="12" fillId="0" borderId="2" xfId="0" applyNumberFormat="1" applyFont="1" applyFill="1" applyBorder="1" applyAlignment="1">
      <alignment horizontal="center" vertical="center"/>
    </xf>
    <xf numFmtId="0" fontId="0" fillId="0" borderId="2" xfId="0" applyFont="1" applyBorder="1" applyAlignment="1">
      <alignment horizontal="center" vertical="center"/>
    </xf>
    <xf numFmtId="0" fontId="0" fillId="0" borderId="2" xfId="0" applyFont="1" applyFill="1" applyBorder="1" applyAlignment="1">
      <alignment horizontal="center" vertical="center"/>
    </xf>
    <xf numFmtId="43" fontId="0" fillId="0" borderId="2" xfId="0" applyNumberFormat="1" applyFont="1" applyFill="1" applyBorder="1" applyAlignment="1">
      <alignment horizontal="center" vertical="center"/>
    </xf>
    <xf numFmtId="14" fontId="13" fillId="0" borderId="2" xfId="0" applyNumberFormat="1" applyFont="1" applyFill="1" applyBorder="1" applyAlignment="1">
      <alignment horizontal="center" vertical="center"/>
    </xf>
    <xf numFmtId="0" fontId="13" fillId="0" borderId="2" xfId="0" applyFont="1" applyFill="1" applyBorder="1" applyAlignment="1">
      <alignment horizontal="center" vertical="center"/>
    </xf>
    <xf numFmtId="0" fontId="13" fillId="0" borderId="2" xfId="0" applyFont="1" applyFill="1" applyBorder="1" applyAlignment="1">
      <alignment horizontal="right" vertical="center"/>
    </xf>
    <xf numFmtId="0" fontId="14" fillId="2" borderId="3" xfId="0" applyFont="1" applyFill="1" applyBorder="1" applyAlignment="1">
      <alignment vertical="center"/>
    </xf>
    <xf numFmtId="0" fontId="12" fillId="2" borderId="4" xfId="0" applyFont="1" applyFill="1" applyBorder="1" applyAlignment="1">
      <alignment vertical="center"/>
    </xf>
    <xf numFmtId="0" fontId="12" fillId="2" borderId="5" xfId="0" applyFont="1" applyFill="1" applyBorder="1" applyAlignment="1">
      <alignment vertical="center"/>
    </xf>
    <xf numFmtId="0" fontId="12" fillId="2" borderId="6" xfId="0" applyFont="1" applyFill="1" applyBorder="1" applyAlignment="1">
      <alignment vertical="center"/>
    </xf>
    <xf numFmtId="0" fontId="12" fillId="2" borderId="7" xfId="0" applyFont="1" applyFill="1" applyBorder="1" applyAlignment="1">
      <alignment vertical="center"/>
    </xf>
    <xf numFmtId="0" fontId="12" fillId="2" borderId="6" xfId="0" applyNumberFormat="1" applyFont="1" applyFill="1" applyBorder="1" applyAlignment="1">
      <alignment horizontal="center" vertical="center"/>
    </xf>
    <xf numFmtId="177" fontId="15" fillId="0" borderId="8" xfId="0" applyNumberFormat="1" applyFont="1" applyFill="1" applyBorder="1" applyAlignment="1">
      <alignment horizontal="center" vertical="center"/>
    </xf>
    <xf numFmtId="177" fontId="16" fillId="0" borderId="8"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xf>
    <xf numFmtId="178" fontId="15" fillId="0" borderId="3" xfId="0" applyNumberFormat="1" applyFont="1" applyFill="1" applyBorder="1" applyAlignment="1">
      <alignment horizontal="center" vertical="center"/>
    </xf>
    <xf numFmtId="178" fontId="15" fillId="0" borderId="9" xfId="0" applyNumberFormat="1" applyFont="1" applyFill="1" applyBorder="1" applyAlignment="1">
      <alignment horizontal="center" vertical="center"/>
    </xf>
    <xf numFmtId="179" fontId="15" fillId="0" borderId="2" xfId="0" applyNumberFormat="1" applyFont="1" applyFill="1" applyBorder="1" applyAlignment="1">
      <alignment horizontal="center" vertical="center"/>
    </xf>
    <xf numFmtId="179" fontId="15" fillId="0" borderId="2" xfId="0" applyNumberFormat="1" applyFont="1" applyFill="1" applyBorder="1" applyAlignment="1">
      <alignment vertical="center"/>
    </xf>
    <xf numFmtId="180" fontId="17" fillId="0" borderId="2" xfId="1" applyNumberFormat="1" applyFont="1" applyBorder="1" applyAlignment="1">
      <alignment horizontal="center" vertical="center" shrinkToFit="1"/>
    </xf>
    <xf numFmtId="9" fontId="15" fillId="0" borderId="3" xfId="0" applyNumberFormat="1" applyFont="1" applyFill="1" applyBorder="1" applyAlignment="1">
      <alignment horizontal="center" vertical="center"/>
    </xf>
    <xf numFmtId="9" fontId="15" fillId="0" borderId="4" xfId="0" applyNumberFormat="1" applyFont="1" applyFill="1" applyBorder="1" applyAlignment="1">
      <alignment horizontal="center" vertical="center"/>
    </xf>
    <xf numFmtId="9" fontId="15" fillId="0" borderId="9" xfId="0" applyNumberFormat="1" applyFont="1" applyFill="1" applyBorder="1" applyAlignment="1">
      <alignment horizontal="center" vertical="center"/>
    </xf>
    <xf numFmtId="179" fontId="15" fillId="0" borderId="3" xfId="0" applyNumberFormat="1" applyFont="1" applyFill="1" applyBorder="1" applyAlignment="1">
      <alignment horizontal="center" vertical="center"/>
    </xf>
    <xf numFmtId="179" fontId="15" fillId="0" borderId="9" xfId="0" applyNumberFormat="1" applyFont="1" applyFill="1" applyBorder="1" applyAlignment="1">
      <alignment horizontal="center" vertical="center"/>
    </xf>
    <xf numFmtId="178" fontId="17" fillId="0" borderId="2" xfId="1" applyNumberFormat="1" applyFont="1" applyBorder="1" applyAlignment="1">
      <alignment horizontal="center" vertical="center" shrinkToFit="1"/>
    </xf>
    <xf numFmtId="0" fontId="17" fillId="0" borderId="2" xfId="0" applyFont="1" applyFill="1" applyBorder="1" applyAlignment="1">
      <alignment horizontal="center" vertical="center" wrapText="1"/>
    </xf>
    <xf numFmtId="0" fontId="16" fillId="0" borderId="2" xfId="0" applyFont="1" applyFill="1" applyBorder="1" applyAlignment="1">
      <alignment horizontal="center" vertical="center" wrapText="1"/>
    </xf>
    <xf numFmtId="178" fontId="15" fillId="0" borderId="2" xfId="0" applyNumberFormat="1" applyFont="1" applyFill="1" applyBorder="1" applyAlignment="1">
      <alignment horizontal="center" vertical="center" wrapText="1"/>
    </xf>
    <xf numFmtId="0" fontId="15" fillId="0" borderId="2" xfId="0" applyFont="1" applyFill="1" applyBorder="1" applyAlignment="1">
      <alignment horizontal="center" vertical="center" wrapText="1"/>
    </xf>
    <xf numFmtId="177" fontId="15" fillId="0" borderId="3" xfId="0" applyNumberFormat="1" applyFont="1" applyFill="1" applyBorder="1" applyAlignment="1">
      <alignment horizontal="center" vertical="center" wrapText="1"/>
    </xf>
    <xf numFmtId="177" fontId="16" fillId="0" borderId="9" xfId="0" applyNumberFormat="1" applyFont="1" applyFill="1" applyBorder="1" applyAlignment="1">
      <alignment horizontal="center" vertical="center" wrapText="1"/>
    </xf>
    <xf numFmtId="177" fontId="16" fillId="0" borderId="2" xfId="0" applyNumberFormat="1" applyFont="1" applyFill="1" applyBorder="1" applyAlignment="1">
      <alignment horizontal="center" vertical="center" wrapText="1"/>
    </xf>
    <xf numFmtId="0" fontId="18" fillId="0" borderId="3" xfId="0" applyFont="1" applyBorder="1" applyAlignment="1">
      <alignment horizontal="center" vertical="center" wrapText="1"/>
    </xf>
    <xf numFmtId="0" fontId="4" fillId="0" borderId="9" xfId="0" applyFont="1" applyBorder="1" applyAlignment="1">
      <alignment horizontal="center" vertical="center" wrapText="1"/>
    </xf>
    <xf numFmtId="0" fontId="19" fillId="0" borderId="3" xfId="0" applyFont="1" applyFill="1" applyBorder="1" applyAlignment="1">
      <alignment horizontal="left" vertical="center" wrapText="1"/>
    </xf>
    <xf numFmtId="0" fontId="4" fillId="0" borderId="4" xfId="0" applyFont="1" applyFill="1" applyBorder="1" applyAlignment="1">
      <alignment horizontal="left" vertical="center"/>
    </xf>
    <xf numFmtId="0" fontId="7" fillId="3"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8" fillId="0" borderId="2" xfId="0" applyFont="1" applyBorder="1" applyAlignment="1">
      <alignment horizontal="center" vertical="center"/>
    </xf>
    <xf numFmtId="0" fontId="18"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18"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21" fillId="0" borderId="0" xfId="0" applyFont="1" applyAlignment="1">
      <alignment horizontal="right" vertical="center"/>
    </xf>
    <xf numFmtId="0" fontId="0" fillId="0" borderId="2" xfId="0" applyFont="1" applyBorder="1">
      <alignment vertical="center"/>
    </xf>
    <xf numFmtId="0" fontId="22" fillId="0" borderId="0" xfId="0" applyFont="1" applyFill="1" applyAlignment="1">
      <alignment vertical="center" wrapText="1"/>
    </xf>
    <xf numFmtId="0" fontId="23" fillId="2" borderId="7" xfId="0" applyFont="1" applyFill="1" applyBorder="1">
      <alignment vertical="center"/>
    </xf>
    <xf numFmtId="180" fontId="16" fillId="0" borderId="2" xfId="1" applyNumberFormat="1" applyFont="1" applyFill="1" applyBorder="1" applyAlignment="1">
      <alignment horizontal="center" vertical="center" shrinkToFit="1"/>
    </xf>
    <xf numFmtId="180" fontId="16" fillId="0" borderId="2" xfId="1" applyNumberFormat="1" applyFont="1" applyBorder="1" applyAlignment="1">
      <alignment horizontal="center" vertical="center" shrinkToFit="1"/>
    </xf>
    <xf numFmtId="178" fontId="17" fillId="0" borderId="2" xfId="1" applyNumberFormat="1" applyFont="1" applyFill="1" applyBorder="1" applyAlignment="1">
      <alignment horizontal="center" vertical="center" shrinkToFit="1"/>
    </xf>
    <xf numFmtId="0" fontId="4" fillId="0" borderId="9" xfId="0" applyFont="1" applyFill="1" applyBorder="1" applyAlignment="1">
      <alignment horizontal="left" vertical="center"/>
    </xf>
    <xf numFmtId="0" fontId="7" fillId="3" borderId="9" xfId="0" applyFont="1" applyFill="1" applyBorder="1" applyAlignment="1">
      <alignment horizontal="center" vertical="center" wrapText="1"/>
    </xf>
    <xf numFmtId="0" fontId="1" fillId="0" borderId="9" xfId="0" applyFont="1" applyBorder="1" applyAlignment="1">
      <alignment horizontal="center" vertical="center" wrapText="1"/>
    </xf>
    <xf numFmtId="0" fontId="24" fillId="0" borderId="0" xfId="0" applyFont="1">
      <alignment vertical="center"/>
    </xf>
    <xf numFmtId="0" fontId="25" fillId="0" borderId="0" xfId="0" applyFont="1">
      <alignment vertical="center"/>
    </xf>
    <xf numFmtId="0" fontId="26" fillId="0" borderId="0" xfId="49" applyFont="1">
      <alignment vertical="center"/>
    </xf>
    <xf numFmtId="0" fontId="27" fillId="0" borderId="0" xfId="49" applyFont="1">
      <alignment vertical="center"/>
    </xf>
    <xf numFmtId="0" fontId="28" fillId="0" borderId="0" xfId="49" applyFont="1" applyFill="1" applyBorder="1" applyAlignment="1">
      <alignment vertical="center"/>
    </xf>
    <xf numFmtId="0" fontId="28" fillId="0" borderId="0" xfId="49" applyFont="1" applyFill="1" applyBorder="1" applyAlignment="1">
      <alignment vertical="center" wrapText="1"/>
    </xf>
    <xf numFmtId="0" fontId="1" fillId="0" borderId="0" xfId="49" applyFont="1">
      <alignment vertical="center"/>
    </xf>
    <xf numFmtId="0" fontId="29" fillId="0" borderId="0" xfId="49" applyFont="1" applyFill="1" applyAlignment="1">
      <alignment horizontal="center" vertical="center"/>
    </xf>
    <xf numFmtId="0" fontId="10" fillId="0" borderId="0" xfId="49" applyFont="1">
      <alignment vertical="center"/>
    </xf>
    <xf numFmtId="0" fontId="30" fillId="0" borderId="0" xfId="0" applyFont="1" applyFill="1" applyAlignment="1">
      <alignment horizontal="right" vertical="center"/>
    </xf>
    <xf numFmtId="0" fontId="7" fillId="0" borderId="0" xfId="0" applyFont="1" applyFill="1" applyBorder="1" applyAlignment="1">
      <alignment vertical="center"/>
    </xf>
    <xf numFmtId="0" fontId="30" fillId="0" borderId="0" xfId="49" applyFont="1" applyAlignment="1">
      <alignment vertical="center"/>
    </xf>
    <xf numFmtId="43" fontId="30" fillId="0" borderId="0" xfId="49" applyNumberFormat="1" applyFont="1" applyFill="1" applyAlignment="1">
      <alignment horizontal="right" vertical="center"/>
    </xf>
    <xf numFmtId="0" fontId="31" fillId="0" borderId="0" xfId="49" applyFont="1">
      <alignment vertical="center"/>
    </xf>
    <xf numFmtId="14" fontId="30" fillId="0" borderId="0" xfId="49" applyNumberFormat="1" applyFont="1" applyAlignment="1">
      <alignment horizontal="right" vertical="center"/>
    </xf>
    <xf numFmtId="0" fontId="30" fillId="0" borderId="2" xfId="49" applyFont="1" applyBorder="1" applyAlignment="1">
      <alignment horizontal="center" vertical="center"/>
    </xf>
    <xf numFmtId="0" fontId="30" fillId="0" borderId="2" xfId="49" applyFont="1" applyFill="1" applyBorder="1" applyAlignment="1">
      <alignment horizontal="center" vertical="center"/>
    </xf>
    <xf numFmtId="0" fontId="30" fillId="0" borderId="2" xfId="49" applyFont="1" applyFill="1" applyBorder="1" applyAlignment="1">
      <alignment horizontal="center" vertical="center" wrapText="1"/>
    </xf>
    <xf numFmtId="0" fontId="30" fillId="0" borderId="2" xfId="49" applyFont="1" applyBorder="1" applyAlignment="1">
      <alignment horizontal="center" vertical="center" wrapText="1"/>
    </xf>
    <xf numFmtId="0" fontId="27" fillId="0" borderId="2" xfId="49" applyFont="1" applyBorder="1" applyAlignment="1">
      <alignment horizontal="center" vertical="center"/>
    </xf>
    <xf numFmtId="57" fontId="27" fillId="0" borderId="2" xfId="49" applyNumberFormat="1" applyFont="1" applyFill="1" applyBorder="1" applyAlignment="1">
      <alignment horizontal="center" vertical="center"/>
    </xf>
    <xf numFmtId="0" fontId="27" fillId="0" borderId="2" xfId="49" applyFont="1" applyFill="1" applyBorder="1" applyAlignment="1">
      <alignment horizontal="center" vertical="center"/>
    </xf>
    <xf numFmtId="179" fontId="2" fillId="0" borderId="6" xfId="0" applyNumberFormat="1" applyFont="1" applyFill="1" applyBorder="1" applyAlignment="1">
      <alignment vertical="center"/>
    </xf>
    <xf numFmtId="0" fontId="27" fillId="0" borderId="2" xfId="49" applyFont="1" applyBorder="1">
      <alignment vertical="center"/>
    </xf>
    <xf numFmtId="179" fontId="27" fillId="0" borderId="2" xfId="49" applyNumberFormat="1" applyFont="1" applyBorder="1">
      <alignment vertical="center"/>
    </xf>
    <xf numFmtId="179" fontId="27" fillId="0" borderId="2" xfId="49" applyNumberFormat="1" applyFont="1" applyFill="1" applyBorder="1" applyAlignment="1">
      <alignment horizontal="right" vertical="center"/>
    </xf>
    <xf numFmtId="179" fontId="27" fillId="0" borderId="2" xfId="49" applyNumberFormat="1" applyFont="1" applyFill="1" applyBorder="1" applyAlignment="1">
      <alignment vertical="center"/>
    </xf>
    <xf numFmtId="0" fontId="2" fillId="0" borderId="2" xfId="49" applyFont="1" applyBorder="1" applyAlignment="1">
      <alignment horizontal="center" vertical="center"/>
    </xf>
    <xf numFmtId="43" fontId="2" fillId="0" borderId="2" xfId="49" applyNumberFormat="1" applyFont="1" applyBorder="1" applyAlignment="1">
      <alignment vertical="center"/>
    </xf>
    <xf numFmtId="0" fontId="1" fillId="0" borderId="2" xfId="49" applyFont="1" applyBorder="1">
      <alignment vertical="center"/>
    </xf>
    <xf numFmtId="0" fontId="2" fillId="0" borderId="3" xfId="49" applyFont="1" applyFill="1" applyBorder="1" applyAlignment="1">
      <alignment horizontal="center" vertical="center" wrapText="1"/>
    </xf>
    <xf numFmtId="0" fontId="2" fillId="0" borderId="9" xfId="49" applyFont="1" applyFill="1" applyBorder="1" applyAlignment="1">
      <alignment horizontal="center" vertical="center" wrapText="1"/>
    </xf>
    <xf numFmtId="0" fontId="32" fillId="0" borderId="4" xfId="49" applyFont="1" applyFill="1" applyBorder="1" applyAlignment="1">
      <alignment horizontal="center" vertical="center"/>
    </xf>
    <xf numFmtId="0" fontId="32" fillId="0" borderId="9" xfId="49" applyFont="1" applyFill="1" applyBorder="1" applyAlignment="1">
      <alignment horizontal="center" vertical="center"/>
    </xf>
    <xf numFmtId="181" fontId="30" fillId="0" borderId="3" xfId="49" applyNumberFormat="1" applyFont="1" applyFill="1" applyBorder="1" applyAlignment="1">
      <alignment vertical="center"/>
    </xf>
    <xf numFmtId="0" fontId="32" fillId="0" borderId="9" xfId="49" applyFont="1" applyFill="1" applyBorder="1" applyAlignment="1">
      <alignment vertical="center"/>
    </xf>
    <xf numFmtId="0" fontId="30" fillId="3" borderId="2" xfId="49" applyFont="1" applyFill="1" applyBorder="1" applyAlignment="1">
      <alignment horizontal="center" vertical="center" wrapText="1"/>
    </xf>
    <xf numFmtId="0" fontId="32" fillId="3" borderId="2" xfId="49"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2" fillId="0" borderId="2" xfId="49" applyFont="1" applyFill="1" applyBorder="1" applyAlignment="1">
      <alignment horizontal="center" vertical="center" wrapText="1"/>
    </xf>
    <xf numFmtId="0" fontId="18" fillId="0" borderId="2" xfId="49"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0" borderId="4" xfId="0" applyFont="1" applyFill="1" applyBorder="1" applyAlignment="1">
      <alignment horizontal="center" vertical="center" wrapText="1"/>
    </xf>
    <xf numFmtId="0" fontId="28" fillId="0" borderId="9" xfId="0" applyFont="1" applyFill="1" applyBorder="1" applyAlignment="1">
      <alignment horizontal="center" vertical="center" wrapText="1"/>
    </xf>
    <xf numFmtId="0" fontId="28" fillId="0" borderId="2" xfId="0" applyFont="1" applyFill="1" applyBorder="1" applyAlignment="1">
      <alignment vertical="center" wrapText="1"/>
    </xf>
    <xf numFmtId="0" fontId="18" fillId="0" borderId="2" xfId="49" applyFont="1" applyFill="1" applyBorder="1" applyAlignment="1">
      <alignment horizontal="center" vertical="center"/>
    </xf>
    <xf numFmtId="0" fontId="2" fillId="0" borderId="14" xfId="49" applyFont="1" applyFill="1" applyBorder="1" applyAlignment="1">
      <alignment horizontal="center" vertical="center" wrapText="1"/>
    </xf>
    <xf numFmtId="0" fontId="2" fillId="0" borderId="6" xfId="49" applyFont="1" applyFill="1" applyBorder="1" applyAlignment="1">
      <alignment horizontal="center" vertical="center" wrapText="1"/>
    </xf>
    <xf numFmtId="0" fontId="2" fillId="0" borderId="10" xfId="49" applyFont="1" applyFill="1" applyBorder="1" applyAlignment="1">
      <alignment horizontal="center" vertical="center" wrapText="1"/>
    </xf>
    <xf numFmtId="0" fontId="2" fillId="0" borderId="11" xfId="49" applyFont="1" applyFill="1" applyBorder="1" applyAlignment="1">
      <alignment horizontal="center" vertical="center" wrapText="1"/>
    </xf>
    <xf numFmtId="0" fontId="2" fillId="0" borderId="12" xfId="49" applyFont="1" applyFill="1" applyBorder="1" applyAlignment="1">
      <alignment horizontal="center" vertical="center" wrapText="1"/>
    </xf>
    <xf numFmtId="0" fontId="2" fillId="0" borderId="13" xfId="49" applyFont="1" applyFill="1" applyBorder="1" applyAlignment="1">
      <alignment horizontal="center" vertical="center" wrapText="1"/>
    </xf>
    <xf numFmtId="0" fontId="33" fillId="0" borderId="0" xfId="49"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pane ySplit="5" topLeftCell="A6" activePane="bottomLeft" state="frozen"/>
      <selection/>
      <selection pane="bottomLeft" activeCell="F12" sqref="F12"/>
    </sheetView>
  </sheetViews>
  <sheetFormatPr defaultColWidth="9" defaultRowHeight="14"/>
  <cols>
    <col min="1" max="1" width="5.25" style="88" customWidth="1"/>
    <col min="2" max="3" width="14.75" style="88" customWidth="1"/>
    <col min="4" max="4" width="14.875" style="88" customWidth="1"/>
    <col min="5" max="5" width="16.75" style="88" customWidth="1"/>
    <col min="6" max="6" width="17.875" style="88" customWidth="1"/>
    <col min="7" max="7" width="16.625" style="88" customWidth="1"/>
    <col min="8" max="16384" width="9" style="88"/>
  </cols>
  <sheetData>
    <row r="1" ht="39" customHeight="1" spans="1:7">
      <c r="A1" s="89" t="s">
        <v>0</v>
      </c>
      <c r="B1" s="89"/>
      <c r="C1" s="89"/>
      <c r="D1" s="89"/>
      <c r="E1" s="89"/>
      <c r="F1" s="89"/>
      <c r="G1" s="89"/>
    </row>
    <row r="2" ht="20.1" customHeight="1" spans="1:7">
      <c r="A2" s="90"/>
      <c r="B2" s="91" t="s">
        <v>1</v>
      </c>
      <c r="C2" s="92" t="s">
        <v>2</v>
      </c>
      <c r="D2" s="93"/>
      <c r="E2" s="93"/>
      <c r="F2" s="94" t="s">
        <v>3</v>
      </c>
      <c r="G2" s="95"/>
    </row>
    <row r="3" s="83" customFormat="1" ht="20.1" customHeight="1" spans="1:10">
      <c r="A3" s="90"/>
      <c r="B3" s="91" t="s">
        <v>4</v>
      </c>
      <c r="C3" s="9" t="s">
        <v>5</v>
      </c>
      <c r="D3" s="93"/>
      <c r="E3" s="93"/>
      <c r="F3" s="94" t="s">
        <v>6</v>
      </c>
      <c r="G3" s="90" t="s">
        <v>7</v>
      </c>
      <c r="H3" s="88"/>
      <c r="I3" s="88"/>
      <c r="J3" s="88"/>
    </row>
    <row r="4" ht="20.1" customHeight="1" spans="1:7">
      <c r="A4" s="90"/>
      <c r="B4" s="96" t="s">
        <v>8</v>
      </c>
      <c r="C4" s="14" t="s">
        <v>9</v>
      </c>
      <c r="D4" s="93"/>
      <c r="E4" s="93"/>
      <c r="F4" s="94" t="s">
        <v>10</v>
      </c>
      <c r="G4" s="90"/>
    </row>
    <row r="5" ht="33" customHeight="1" spans="1:7">
      <c r="A5" s="97" t="s">
        <v>11</v>
      </c>
      <c r="B5" s="98" t="s">
        <v>12</v>
      </c>
      <c r="C5" s="99" t="s">
        <v>13</v>
      </c>
      <c r="D5" s="100" t="s">
        <v>14</v>
      </c>
      <c r="E5" s="99" t="s">
        <v>15</v>
      </c>
      <c r="F5" s="99" t="s">
        <v>16</v>
      </c>
      <c r="G5" s="98" t="s">
        <v>17</v>
      </c>
    </row>
    <row r="6" s="84" customFormat="1" ht="18.95" customHeight="1" spans="1:7">
      <c r="A6" s="101">
        <v>1</v>
      </c>
      <c r="B6" s="102">
        <v>46023</v>
      </c>
      <c r="C6" s="103">
        <v>54</v>
      </c>
      <c r="D6" s="104">
        <v>546</v>
      </c>
      <c r="E6" s="104">
        <v>0</v>
      </c>
      <c r="F6" s="104">
        <v>0</v>
      </c>
      <c r="G6" s="105"/>
    </row>
    <row r="7" s="85" customFormat="1" ht="18.95" customHeight="1" spans="1:7">
      <c r="A7" s="101">
        <v>2</v>
      </c>
      <c r="B7" s="102"/>
      <c r="C7" s="103"/>
      <c r="D7" s="106"/>
      <c r="E7" s="106"/>
      <c r="F7" s="106"/>
      <c r="G7" s="105"/>
    </row>
    <row r="8" s="85" customFormat="1" ht="18.95" customHeight="1" spans="1:7">
      <c r="A8" s="101">
        <v>3</v>
      </c>
      <c r="B8" s="102"/>
      <c r="C8" s="103"/>
      <c r="D8" s="106"/>
      <c r="E8" s="106"/>
      <c r="F8" s="106"/>
      <c r="G8" s="105"/>
    </row>
    <row r="9" s="85" customFormat="1" ht="18.95" customHeight="1" spans="1:7">
      <c r="A9" s="101">
        <v>4</v>
      </c>
      <c r="B9" s="102"/>
      <c r="C9" s="103"/>
      <c r="D9" s="106"/>
      <c r="E9" s="106"/>
      <c r="F9" s="106"/>
      <c r="G9" s="105"/>
    </row>
    <row r="10" s="85" customFormat="1" ht="18.95" customHeight="1" spans="1:7">
      <c r="A10" s="101">
        <v>5</v>
      </c>
      <c r="B10" s="102"/>
      <c r="C10" s="103"/>
      <c r="D10" s="106"/>
      <c r="E10" s="106"/>
      <c r="F10" s="106"/>
      <c r="G10" s="105"/>
    </row>
    <row r="11" s="85" customFormat="1" ht="18.95" customHeight="1" spans="1:7">
      <c r="A11" s="101">
        <v>6</v>
      </c>
      <c r="B11" s="102"/>
      <c r="C11" s="103"/>
      <c r="D11" s="106"/>
      <c r="E11" s="106"/>
      <c r="F11" s="106"/>
      <c r="G11" s="105"/>
    </row>
    <row r="12" s="85" customFormat="1" ht="18.95" customHeight="1" spans="1:7">
      <c r="A12" s="101">
        <v>7</v>
      </c>
      <c r="B12" s="102"/>
      <c r="C12" s="103"/>
      <c r="D12" s="106"/>
      <c r="E12" s="106"/>
      <c r="F12" s="106"/>
      <c r="G12" s="105"/>
    </row>
    <row r="13" s="85" customFormat="1" ht="18.95" customHeight="1" spans="1:7">
      <c r="A13" s="101">
        <v>8</v>
      </c>
      <c r="B13" s="102"/>
      <c r="C13" s="103"/>
      <c r="D13" s="106"/>
      <c r="E13" s="107"/>
      <c r="F13" s="106"/>
      <c r="G13" s="105"/>
    </row>
    <row r="14" s="85" customFormat="1" ht="18.95" customHeight="1" spans="1:7">
      <c r="A14" s="101">
        <v>9</v>
      </c>
      <c r="B14" s="102"/>
      <c r="C14" s="103"/>
      <c r="D14" s="106"/>
      <c r="E14" s="107"/>
      <c r="F14" s="106"/>
      <c r="G14" s="105"/>
    </row>
    <row r="15" s="85" customFormat="1" ht="18.95" customHeight="1" spans="1:7">
      <c r="A15" s="101">
        <v>10</v>
      </c>
      <c r="B15" s="102"/>
      <c r="C15" s="103"/>
      <c r="D15" s="106"/>
      <c r="E15" s="107"/>
      <c r="F15" s="108"/>
      <c r="G15" s="105"/>
    </row>
    <row r="16" ht="26.25" customHeight="1" spans="1:7">
      <c r="A16" s="109" t="s">
        <v>18</v>
      </c>
      <c r="B16" s="109"/>
      <c r="C16" s="109">
        <f t="shared" ref="C16:F16" si="0">SUM(C6:C15)</f>
        <v>54</v>
      </c>
      <c r="D16" s="110">
        <f t="shared" si="0"/>
        <v>546</v>
      </c>
      <c r="E16" s="110">
        <f t="shared" si="0"/>
        <v>0</v>
      </c>
      <c r="F16" s="110">
        <f t="shared" si="0"/>
        <v>0</v>
      </c>
      <c r="G16" s="111"/>
    </row>
    <row r="17" s="86" customFormat="1" ht="27.95" customHeight="1" spans="1:7">
      <c r="A17" s="112" t="s">
        <v>19</v>
      </c>
      <c r="B17" s="113"/>
      <c r="C17" s="114" t="str">
        <f>IF(F17="","","人民币"&amp;SUBSTITUTE(SUBSTITUTE(IF(F17&gt;-0.5%,,"负")&amp;TEXT(INT(FIXED(ABS(F17))),"[dbnum2]G/通用格式元;;")&amp;TEXT(RIGHT(FIXED(F17),2),"[dbnum2]0角0分;;"&amp;IF(ABS(F17)&gt;1%,"整",)),"零角",IF(ABS(F17)&lt;1,,"零")),"零分","整"))</f>
        <v>人民币伍佰肆拾陆元整</v>
      </c>
      <c r="D17" s="114"/>
      <c r="E17" s="115"/>
      <c r="F17" s="116">
        <f>D16</f>
        <v>546</v>
      </c>
      <c r="G17" s="117"/>
    </row>
    <row r="18" s="86" customFormat="1" ht="27.95" customHeight="1" spans="1:7">
      <c r="A18" s="112" t="s">
        <v>20</v>
      </c>
      <c r="B18" s="113"/>
      <c r="C18" s="114" t="str">
        <f>IF(F18="","","人民币"&amp;SUBSTITUTE(SUBSTITUTE(IF(F18&gt;-0.5%,,"负")&amp;TEXT(INT(FIXED(ABS(F18))),"[dbnum2]G/通用格式元;;")&amp;TEXT(RIGHT(FIXED(F18),2),"[dbnum2]0角0分;;"&amp;IF(ABS(F18)&gt;1%,"整",)),"零角",IF(ABS(F18)&lt;1,,"零")),"零分","整"))</f>
        <v>人民币伍佰肆拾陆元整</v>
      </c>
      <c r="D18" s="114"/>
      <c r="E18" s="115"/>
      <c r="F18" s="116">
        <f>D16-E16</f>
        <v>546</v>
      </c>
      <c r="G18" s="117"/>
    </row>
    <row r="19" s="87" customFormat="1" ht="15" customHeight="1" spans="1:7">
      <c r="A19" s="118" t="s">
        <v>21</v>
      </c>
      <c r="B19" s="119"/>
      <c r="C19" s="118" t="s">
        <v>22</v>
      </c>
      <c r="D19" s="120" t="s">
        <v>23</v>
      </c>
      <c r="E19" s="121"/>
      <c r="F19" s="122"/>
      <c r="G19" s="123" t="s">
        <v>24</v>
      </c>
    </row>
    <row r="20" s="87" customFormat="1" ht="30" customHeight="1" spans="1:7">
      <c r="A20" s="124" t="s">
        <v>25</v>
      </c>
      <c r="B20" s="124"/>
      <c r="C20" s="125" t="s">
        <v>26</v>
      </c>
      <c r="D20" s="126"/>
      <c r="E20" s="127"/>
      <c r="F20" s="128"/>
      <c r="G20" s="129"/>
    </row>
    <row r="21" s="87" customFormat="1" ht="30" customHeight="1" spans="1:7">
      <c r="A21" s="124"/>
      <c r="B21" s="124"/>
      <c r="C21" s="125" t="s">
        <v>27</v>
      </c>
      <c r="D21" s="126"/>
      <c r="E21" s="127"/>
      <c r="F21" s="128"/>
      <c r="G21" s="129"/>
    </row>
    <row r="22" s="87" customFormat="1" ht="30" customHeight="1" spans="1:7">
      <c r="A22" s="124"/>
      <c r="B22" s="124"/>
      <c r="C22" s="125" t="s">
        <v>28</v>
      </c>
      <c r="D22" s="126"/>
      <c r="E22" s="127"/>
      <c r="F22" s="128"/>
      <c r="G22" s="129"/>
    </row>
    <row r="23" s="86" customFormat="1" ht="30" customHeight="1" spans="1:7">
      <c r="A23" s="124"/>
      <c r="B23" s="124"/>
      <c r="C23" s="130" t="s">
        <v>29</v>
      </c>
      <c r="D23" s="126"/>
      <c r="E23" s="127"/>
      <c r="F23" s="128"/>
      <c r="G23" s="129"/>
    </row>
    <row r="24" s="86" customFormat="1" ht="30" customHeight="1" spans="1:7">
      <c r="A24" s="124"/>
      <c r="B24" s="124"/>
      <c r="C24" s="130" t="s">
        <v>30</v>
      </c>
      <c r="D24" s="126"/>
      <c r="E24" s="127"/>
      <c r="F24" s="128"/>
      <c r="G24" s="129"/>
    </row>
    <row r="25" s="86" customFormat="1" ht="30" customHeight="1" spans="1:7">
      <c r="A25" s="131" t="s">
        <v>31</v>
      </c>
      <c r="B25" s="132"/>
      <c r="C25" s="130" t="s">
        <v>32</v>
      </c>
      <c r="D25" s="126"/>
      <c r="E25" s="127"/>
      <c r="F25" s="128"/>
      <c r="G25" s="129"/>
    </row>
    <row r="26" s="86" customFormat="1" ht="30" customHeight="1" spans="1:7">
      <c r="A26" s="133"/>
      <c r="B26" s="134"/>
      <c r="C26" s="125" t="s">
        <v>33</v>
      </c>
      <c r="D26" s="126"/>
      <c r="E26" s="127"/>
      <c r="F26" s="128"/>
      <c r="G26" s="129"/>
    </row>
    <row r="27" s="86" customFormat="1" ht="30" customHeight="1" spans="1:7">
      <c r="A27" s="133"/>
      <c r="B27" s="134"/>
      <c r="C27" s="130" t="s">
        <v>34</v>
      </c>
      <c r="D27" s="126"/>
      <c r="E27" s="127"/>
      <c r="F27" s="128"/>
      <c r="G27" s="129"/>
    </row>
    <row r="28" s="86" customFormat="1" ht="30" customHeight="1" spans="1:7">
      <c r="A28" s="133"/>
      <c r="B28" s="134"/>
      <c r="C28" s="130" t="s">
        <v>35</v>
      </c>
      <c r="D28" s="126"/>
      <c r="E28" s="127"/>
      <c r="F28" s="128"/>
      <c r="G28" s="129"/>
    </row>
    <row r="29" s="86" customFormat="1" ht="30" customHeight="1" spans="1:7">
      <c r="A29" s="135"/>
      <c r="B29" s="136"/>
      <c r="C29" s="130" t="s">
        <v>36</v>
      </c>
      <c r="D29" s="126"/>
      <c r="E29" s="127"/>
      <c r="F29" s="128"/>
      <c r="G29" s="129"/>
    </row>
    <row r="30" s="86" customFormat="1" ht="24.75" customHeight="1" spans="1:7">
      <c r="A30" s="137" t="s">
        <v>37</v>
      </c>
      <c r="B30" s="137"/>
      <c r="C30" s="137"/>
      <c r="D30" s="137"/>
      <c r="E30" s="137"/>
      <c r="F30" s="137"/>
      <c r="G30" s="137"/>
    </row>
  </sheetData>
  <mergeCells count="21">
    <mergeCell ref="A1:G1"/>
    <mergeCell ref="A16:B16"/>
    <mergeCell ref="A17:B17"/>
    <mergeCell ref="C17:E17"/>
    <mergeCell ref="A18:B18"/>
    <mergeCell ref="C18:E18"/>
    <mergeCell ref="A19:B19"/>
    <mergeCell ref="D19:F19"/>
    <mergeCell ref="D20:F20"/>
    <mergeCell ref="D21:F21"/>
    <mergeCell ref="D22:F22"/>
    <mergeCell ref="D23:F23"/>
    <mergeCell ref="D24:F24"/>
    <mergeCell ref="D25:F25"/>
    <mergeCell ref="D26:F26"/>
    <mergeCell ref="D27:F27"/>
    <mergeCell ref="D28:F28"/>
    <mergeCell ref="D29:F29"/>
    <mergeCell ref="A30:G30"/>
    <mergeCell ref="A20:B24"/>
    <mergeCell ref="A25:B29"/>
  </mergeCells>
  <printOptions horizontalCentered="1"/>
  <pageMargins left="0.393055555555556" right="0" top="0.629861111111111" bottom="0.156944444444444" header="0.236111111111111" footer="0.236111111111111"/>
  <pageSetup paperSize="9" scale="85" orientation="portrait" horizontalDpi="600" verticalDpi="600"/>
  <headerFooter alignWithMargins="0" scaleWithDoc="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7"/>
  <sheetViews>
    <sheetView tabSelected="1" workbookViewId="0">
      <selection activeCell="D11" sqref="D11:E11"/>
    </sheetView>
  </sheetViews>
  <sheetFormatPr defaultColWidth="9" defaultRowHeight="14"/>
  <cols>
    <col min="1" max="1" width="4.75" style="1" customWidth="1"/>
    <col min="2" max="2" width="11.2416666666667" style="1" customWidth="1"/>
    <col min="3" max="3" width="22.6916666666667" style="1" customWidth="1"/>
    <col min="4" max="4" width="29.25" style="1" customWidth="1"/>
    <col min="5" max="5" width="14.625" style="1" customWidth="1"/>
    <col min="6" max="6" width="5.75833333333333" style="1" customWidth="1"/>
    <col min="7" max="7" width="9.51666666666667" style="1" customWidth="1"/>
    <col min="8" max="8" width="11.2416666666667" style="5" customWidth="1"/>
    <col min="9" max="9" width="23" style="5" customWidth="1"/>
    <col min="10" max="10" width="9.225" style="1" customWidth="1"/>
    <col min="11" max="16384" width="9" style="1"/>
  </cols>
  <sheetData>
    <row r="1" s="1" customFormat="1" ht="39" customHeight="1" spans="1:10">
      <c r="A1" s="6" t="s">
        <v>38</v>
      </c>
      <c r="B1" s="6"/>
      <c r="C1" s="6"/>
      <c r="D1" s="6"/>
      <c r="E1" s="6"/>
      <c r="F1" s="6"/>
      <c r="G1" s="6"/>
      <c r="H1" s="6"/>
      <c r="I1" s="6"/>
      <c r="J1" s="6"/>
    </row>
    <row r="2" s="1" customFormat="1" ht="21" customHeight="1" spans="1:10">
      <c r="A2" s="7"/>
      <c r="B2" s="8" t="s">
        <v>1</v>
      </c>
      <c r="C2" s="9"/>
      <c r="D2" s="9"/>
      <c r="E2" s="10"/>
      <c r="G2" s="11" t="s">
        <v>39</v>
      </c>
      <c r="H2" s="9"/>
      <c r="I2" s="9"/>
      <c r="J2" s="7"/>
    </row>
    <row r="3" s="1" customFormat="1" ht="21" customHeight="1" spans="1:10">
      <c r="A3" s="7"/>
      <c r="B3" s="8" t="s">
        <v>4</v>
      </c>
      <c r="C3" s="9" t="s">
        <v>5</v>
      </c>
      <c r="D3" s="10"/>
      <c r="E3" s="10"/>
      <c r="F3" s="11"/>
      <c r="G3" s="11" t="s">
        <v>6</v>
      </c>
      <c r="H3" s="9"/>
      <c r="I3" s="9"/>
      <c r="J3" s="7"/>
    </row>
    <row r="4" s="1" customFormat="1" ht="24" customHeight="1" spans="1:10">
      <c r="A4" s="12"/>
      <c r="B4" s="13" t="s">
        <v>8</v>
      </c>
      <c r="C4" s="14"/>
      <c r="D4" s="14"/>
      <c r="E4" s="14"/>
      <c r="F4" s="14"/>
      <c r="G4" s="13" t="s">
        <v>40</v>
      </c>
      <c r="H4" s="15"/>
      <c r="I4" s="15"/>
      <c r="J4" s="72" t="s">
        <v>41</v>
      </c>
    </row>
    <row r="5" s="1" customFormat="1" ht="28" customHeight="1" spans="1:10">
      <c r="A5" s="16" t="s">
        <v>11</v>
      </c>
      <c r="B5" s="17" t="s">
        <v>24</v>
      </c>
      <c r="C5" s="17" t="s">
        <v>42</v>
      </c>
      <c r="D5" s="16" t="s">
        <v>43</v>
      </c>
      <c r="E5" s="17" t="s">
        <v>44</v>
      </c>
      <c r="F5" s="17" t="s">
        <v>45</v>
      </c>
      <c r="G5" s="17" t="s">
        <v>46</v>
      </c>
      <c r="H5" s="18" t="s">
        <v>47</v>
      </c>
      <c r="I5" s="18" t="s">
        <v>48</v>
      </c>
      <c r="J5" s="17" t="s">
        <v>17</v>
      </c>
    </row>
    <row r="6" s="1" customFormat="1" ht="28" customHeight="1" spans="1:10">
      <c r="A6" s="19">
        <v>1</v>
      </c>
      <c r="B6" s="20"/>
      <c r="C6" s="20"/>
      <c r="D6" s="19"/>
      <c r="E6" s="20"/>
      <c r="F6" s="20"/>
      <c r="G6" s="20"/>
      <c r="H6" s="21"/>
      <c r="I6" s="21"/>
      <c r="J6" s="20"/>
    </row>
    <row r="7" s="1" customFormat="1" ht="28" customHeight="1" spans="1:10">
      <c r="A7" s="19">
        <v>2</v>
      </c>
      <c r="B7" s="20"/>
      <c r="C7" s="20"/>
      <c r="D7" s="19"/>
      <c r="E7" s="20"/>
      <c r="F7" s="20"/>
      <c r="G7" s="20"/>
      <c r="H7" s="21"/>
      <c r="I7" s="21"/>
      <c r="J7" s="20"/>
    </row>
    <row r="8" s="1" customFormat="1" ht="28" customHeight="1" spans="1:10">
      <c r="A8" s="19">
        <v>3</v>
      </c>
      <c r="B8" s="20"/>
      <c r="C8" s="20"/>
      <c r="D8" s="19"/>
      <c r="E8" s="20"/>
      <c r="F8" s="20"/>
      <c r="G8" s="20"/>
      <c r="H8" s="21"/>
      <c r="I8" s="21"/>
      <c r="J8" s="20"/>
    </row>
    <row r="9" s="2" customFormat="1" ht="28" customHeight="1" spans="1:15">
      <c r="A9" s="19">
        <v>4</v>
      </c>
      <c r="B9" s="22"/>
      <c r="C9" s="20"/>
      <c r="D9" s="23"/>
      <c r="E9" s="23"/>
      <c r="F9" s="23"/>
      <c r="G9" s="23"/>
      <c r="H9" s="24"/>
      <c r="I9" s="21"/>
      <c r="J9" s="73"/>
      <c r="L9" s="74"/>
      <c r="M9" s="74"/>
      <c r="N9" s="74"/>
      <c r="O9" s="74"/>
    </row>
    <row r="10" s="1" customFormat="1" ht="21" customHeight="1" spans="1:10">
      <c r="A10" s="25" t="s">
        <v>49</v>
      </c>
      <c r="B10" s="26"/>
      <c r="C10" s="27"/>
      <c r="D10" s="28"/>
      <c r="E10" s="29"/>
      <c r="F10" s="28"/>
      <c r="G10" s="28">
        <f>SUM(G6:G9)</f>
        <v>0</v>
      </c>
      <c r="H10" s="30"/>
      <c r="I10" s="28">
        <f>SUM(I6:I9)</f>
        <v>0</v>
      </c>
      <c r="J10" s="75"/>
    </row>
    <row r="11" s="3" customFormat="1" ht="28" customHeight="1" spans="1:10">
      <c r="A11" s="31" t="s">
        <v>50</v>
      </c>
      <c r="B11" s="32"/>
      <c r="C11" s="33" t="s">
        <v>51</v>
      </c>
      <c r="D11" s="34">
        <f>I10</f>
        <v>0</v>
      </c>
      <c r="E11" s="35"/>
      <c r="F11" s="36" t="s">
        <v>52</v>
      </c>
      <c r="G11" s="37"/>
      <c r="H11" s="38" t="str">
        <f>IF(D11="","","人民币"&amp;SUBSTITUTE(SUBSTITUTE(IF(D11&gt;-0.5%,,"负")&amp;TEXT(INT(FIXED(ABS(D11))),"[dbnum2]G/通用格式元;;")&amp;TEXT(RIGHT(FIXED(D11),2),"[dbnum2]0角0分;;"&amp;IF(ABS(D11)&gt;1%,"整",)),"零角",IF(ABS(D11)&lt;1,,"零")),"零分","整"))</f>
        <v>人民币</v>
      </c>
      <c r="I11" s="76"/>
      <c r="J11" s="77"/>
    </row>
    <row r="12" s="3" customFormat="1" ht="28" customHeight="1" spans="1:10">
      <c r="A12" s="31" t="s">
        <v>53</v>
      </c>
      <c r="B12" s="32"/>
      <c r="C12" s="39">
        <v>0.01</v>
      </c>
      <c r="D12" s="40"/>
      <c r="E12" s="41"/>
      <c r="F12" s="42" t="s">
        <v>54</v>
      </c>
      <c r="G12" s="43"/>
      <c r="H12" s="44">
        <f>D11/(1+C12)</f>
        <v>0</v>
      </c>
      <c r="I12" s="78"/>
      <c r="J12" s="44"/>
    </row>
    <row r="13" s="3" customFormat="1" ht="30" customHeight="1" spans="1:10">
      <c r="A13" s="45" t="s">
        <v>55</v>
      </c>
      <c r="B13" s="46"/>
      <c r="C13" s="47">
        <v>0</v>
      </c>
      <c r="D13" s="47"/>
      <c r="E13" s="47"/>
      <c r="F13" s="48" t="s">
        <v>56</v>
      </c>
      <c r="G13" s="48"/>
      <c r="H13" s="47">
        <f>I10+C13</f>
        <v>0</v>
      </c>
      <c r="I13" s="47"/>
      <c r="J13" s="47"/>
    </row>
    <row r="14" s="3" customFormat="1" ht="22" customHeight="1" spans="1:10">
      <c r="A14" s="49" t="s">
        <v>57</v>
      </c>
      <c r="B14" s="50"/>
      <c r="C14" s="51"/>
      <c r="D14" s="51"/>
      <c r="E14" s="51"/>
      <c r="F14" s="51"/>
      <c r="G14" s="51"/>
      <c r="H14" s="51"/>
      <c r="I14" s="51"/>
      <c r="J14" s="51"/>
    </row>
    <row r="15" s="1" customFormat="1" ht="254" customHeight="1" spans="1:10">
      <c r="A15" s="52" t="s">
        <v>58</v>
      </c>
      <c r="B15" s="53"/>
      <c r="C15" s="54" t="s">
        <v>59</v>
      </c>
      <c r="D15" s="55"/>
      <c r="E15" s="55"/>
      <c r="F15" s="55"/>
      <c r="G15" s="55"/>
      <c r="H15" s="55"/>
      <c r="I15" s="55"/>
      <c r="J15" s="79"/>
    </row>
    <row r="16" s="4" customFormat="1" ht="18" customHeight="1" spans="1:10">
      <c r="A16" s="56" t="s">
        <v>21</v>
      </c>
      <c r="B16" s="57"/>
      <c r="C16" s="56" t="s">
        <v>22</v>
      </c>
      <c r="D16" s="56" t="s">
        <v>60</v>
      </c>
      <c r="E16" s="56"/>
      <c r="F16" s="58" t="s">
        <v>23</v>
      </c>
      <c r="G16" s="58"/>
      <c r="H16" s="58"/>
      <c r="I16" s="58"/>
      <c r="J16" s="80"/>
    </row>
    <row r="17" s="1" customFormat="1" ht="45" customHeight="1" spans="1:10">
      <c r="A17" s="59" t="s">
        <v>61</v>
      </c>
      <c r="B17" s="59"/>
      <c r="C17" s="60" t="s">
        <v>62</v>
      </c>
      <c r="D17" s="60" t="s">
        <v>63</v>
      </c>
      <c r="E17" s="61"/>
      <c r="F17" s="62"/>
      <c r="G17" s="62"/>
      <c r="H17" s="62"/>
      <c r="I17" s="62"/>
      <c r="J17" s="81"/>
    </row>
    <row r="18" s="1" customFormat="1" ht="45" customHeight="1" spans="1:10">
      <c r="A18" s="59"/>
      <c r="B18" s="59"/>
      <c r="C18" s="63" t="s">
        <v>29</v>
      </c>
      <c r="D18" s="60" t="s">
        <v>64</v>
      </c>
      <c r="E18" s="61"/>
      <c r="F18" s="62"/>
      <c r="G18" s="62"/>
      <c r="H18" s="62"/>
      <c r="I18" s="62"/>
      <c r="J18" s="81"/>
    </row>
    <row r="19" s="1" customFormat="1" ht="45" customHeight="1" spans="1:10">
      <c r="A19" s="59"/>
      <c r="B19" s="59"/>
      <c r="C19" s="60" t="s">
        <v>65</v>
      </c>
      <c r="D19" s="52" t="s">
        <v>66</v>
      </c>
      <c r="E19" s="64"/>
      <c r="F19" s="62"/>
      <c r="G19" s="62"/>
      <c r="H19" s="62"/>
      <c r="I19" s="62"/>
      <c r="J19" s="81"/>
    </row>
    <row r="20" s="1" customFormat="1" ht="45" customHeight="1" spans="1:10">
      <c r="A20" s="59"/>
      <c r="B20" s="59"/>
      <c r="C20" s="63" t="s">
        <v>67</v>
      </c>
      <c r="D20" s="52" t="s">
        <v>68</v>
      </c>
      <c r="E20" s="64"/>
      <c r="F20" s="62"/>
      <c r="G20" s="62"/>
      <c r="H20" s="62"/>
      <c r="I20" s="62"/>
      <c r="J20" s="81"/>
    </row>
    <row r="21" s="1" customFormat="1" ht="45" customHeight="1" spans="1:10">
      <c r="A21" s="59"/>
      <c r="B21" s="59"/>
      <c r="C21" s="63" t="s">
        <v>30</v>
      </c>
      <c r="D21" s="60" t="s">
        <v>69</v>
      </c>
      <c r="E21" s="61"/>
      <c r="F21" s="62"/>
      <c r="G21" s="62"/>
      <c r="H21" s="62"/>
      <c r="I21" s="62"/>
      <c r="J21" s="81"/>
    </row>
    <row r="22" s="1" customFormat="1" ht="45" customHeight="1" spans="1:10">
      <c r="A22" s="65" t="s">
        <v>31</v>
      </c>
      <c r="B22" s="66"/>
      <c r="C22" s="60" t="s">
        <v>33</v>
      </c>
      <c r="D22" s="60" t="s">
        <v>70</v>
      </c>
      <c r="E22" s="61"/>
      <c r="F22" s="62"/>
      <c r="G22" s="62"/>
      <c r="H22" s="62"/>
      <c r="I22" s="62"/>
      <c r="J22" s="81"/>
    </row>
    <row r="23" s="1" customFormat="1" ht="45" customHeight="1" spans="1:10">
      <c r="A23" s="65"/>
      <c r="B23" s="66"/>
      <c r="C23" s="63" t="s">
        <v>34</v>
      </c>
      <c r="D23" s="60" t="s">
        <v>71</v>
      </c>
      <c r="E23" s="61"/>
      <c r="F23" s="62"/>
      <c r="G23" s="62"/>
      <c r="H23" s="62"/>
      <c r="I23" s="62"/>
      <c r="J23" s="81"/>
    </row>
    <row r="24" s="1" customFormat="1" ht="45" customHeight="1" spans="1:10">
      <c r="A24" s="65"/>
      <c r="B24" s="66"/>
      <c r="C24" s="63" t="s">
        <v>72</v>
      </c>
      <c r="D24" s="52" t="s">
        <v>73</v>
      </c>
      <c r="E24" s="64"/>
      <c r="F24" s="62"/>
      <c r="G24" s="62"/>
      <c r="H24" s="62"/>
      <c r="I24" s="62"/>
      <c r="J24" s="81"/>
    </row>
    <row r="25" s="1" customFormat="1" ht="45" customHeight="1" spans="1:12">
      <c r="A25" s="67"/>
      <c r="B25" s="68"/>
      <c r="C25" s="63" t="s">
        <v>35</v>
      </c>
      <c r="D25" s="60" t="s">
        <v>69</v>
      </c>
      <c r="E25" s="61"/>
      <c r="F25" s="62"/>
      <c r="G25" s="62"/>
      <c r="H25" s="62"/>
      <c r="I25" s="62"/>
      <c r="J25" s="81"/>
      <c r="L25" s="82"/>
    </row>
    <row r="26" s="1" customFormat="1" ht="92" customHeight="1" spans="1:10">
      <c r="A26" s="69" t="s">
        <v>74</v>
      </c>
      <c r="B26" s="69"/>
      <c r="C26" s="69"/>
      <c r="D26" s="69"/>
      <c r="E26" s="69"/>
      <c r="F26" s="69"/>
      <c r="G26" s="69"/>
      <c r="H26" s="69"/>
      <c r="I26" s="69"/>
      <c r="J26" s="69"/>
    </row>
    <row r="27" s="1" customFormat="1" spans="1:10">
      <c r="A27" s="70"/>
      <c r="B27" s="71"/>
      <c r="C27" s="71"/>
      <c r="D27" s="71"/>
      <c r="E27" s="71"/>
      <c r="F27" s="71"/>
      <c r="G27" s="71"/>
      <c r="H27" s="71"/>
      <c r="I27" s="71"/>
      <c r="J27" s="71"/>
    </row>
  </sheetData>
  <mergeCells count="45">
    <mergeCell ref="A1:J1"/>
    <mergeCell ref="C2:D2"/>
    <mergeCell ref="H2:I2"/>
    <mergeCell ref="H3:I3"/>
    <mergeCell ref="H4:I4"/>
    <mergeCell ref="A11:B11"/>
    <mergeCell ref="D11:E11"/>
    <mergeCell ref="F11:G11"/>
    <mergeCell ref="H11:J11"/>
    <mergeCell ref="A12:B12"/>
    <mergeCell ref="C12:E12"/>
    <mergeCell ref="F12:G12"/>
    <mergeCell ref="H12:J12"/>
    <mergeCell ref="A13:B13"/>
    <mergeCell ref="C13:E13"/>
    <mergeCell ref="F13:G13"/>
    <mergeCell ref="H13:J13"/>
    <mergeCell ref="A14:B14"/>
    <mergeCell ref="C14:J14"/>
    <mergeCell ref="A15:B15"/>
    <mergeCell ref="C15:J15"/>
    <mergeCell ref="A16:B16"/>
    <mergeCell ref="D16:E16"/>
    <mergeCell ref="F16:J16"/>
    <mergeCell ref="D17:E17"/>
    <mergeCell ref="F17:J17"/>
    <mergeCell ref="D18:E18"/>
    <mergeCell ref="F18:J18"/>
    <mergeCell ref="D19:E19"/>
    <mergeCell ref="F19:J19"/>
    <mergeCell ref="D20:E20"/>
    <mergeCell ref="F20:J20"/>
    <mergeCell ref="D21:E21"/>
    <mergeCell ref="F21:J21"/>
    <mergeCell ref="D22:E22"/>
    <mergeCell ref="F22:J22"/>
    <mergeCell ref="D23:E23"/>
    <mergeCell ref="F23:J23"/>
    <mergeCell ref="D24:E24"/>
    <mergeCell ref="F24:J24"/>
    <mergeCell ref="D25:E25"/>
    <mergeCell ref="F25:J25"/>
    <mergeCell ref="A26:J26"/>
    <mergeCell ref="A17:B21"/>
    <mergeCell ref="A22:B25"/>
  </mergeCells>
  <pageMargins left="0.75" right="0.75" top="1" bottom="1" header="0.5" footer="0.5"/>
  <pageSetup paperSize="9" scale="57"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结算汇总</vt:lpstr>
      <vt:lpstr>2026.1.1~2026.1.15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yangxinggg</cp:lastModifiedBy>
  <dcterms:created xsi:type="dcterms:W3CDTF">2021-07-22T00:56:00Z</dcterms:created>
  <dcterms:modified xsi:type="dcterms:W3CDTF">2026-04-16T01:13:47Z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2052-12.1.0.22215</vt:lpwstr>
  </property>
  <property fmtid="{D5CDD505-2E9C-101B-9397-08002B2CF9AE}" pid="3" name="ICV">
    <vt:lpwstr>7E14052B10EB40CA95CA9F9837540072</vt:lpwstr>
  </property>
  <property fmtid="{D5CDD505-2E9C-101B-9397-08002B2CF9AE}" pid="4" name="KSOReadingLayout">
    <vt:bool>true</vt:bool>
  </property>
  <property fmtid="{D5CDD505-2E9C-101B-9397-08002B2CF9AE}" pid="5" name="CalculationRule">
    <vt:i4>0</vt:i4>
  </property>
</Properties>
</file>